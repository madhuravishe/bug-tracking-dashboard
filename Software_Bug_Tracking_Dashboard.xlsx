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Bug Title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Assigned To</t>
        </is>
      </c>
      <c r="G1" s="1" t="inlineStr">
        <is>
          <t>Days Open</t>
        </is>
      </c>
    </row>
    <row r="2">
      <c r="A2" t="inlineStr">
        <is>
          <t>BUG001</t>
        </is>
      </c>
      <c r="B2" t="inlineStr">
        <is>
          <t>Login Validation Error</t>
        </is>
      </c>
      <c r="C2" t="inlineStr">
        <is>
          <t>Authentication</t>
        </is>
      </c>
      <c r="D2" t="inlineStr">
        <is>
          <t>High</t>
        </is>
      </c>
      <c r="E2" t="inlineStr">
        <is>
          <t>Closed</t>
        </is>
      </c>
      <c r="F2" t="inlineStr">
        <is>
          <t>Amit</t>
        </is>
      </c>
      <c r="G2" t="n">
        <v>3</v>
      </c>
    </row>
    <row r="3">
      <c r="A3" t="inlineStr">
        <is>
          <t>BUG002</t>
        </is>
      </c>
      <c r="B3" t="inlineStr">
        <is>
          <t>Password Reset Failure</t>
        </is>
      </c>
      <c r="C3" t="inlineStr">
        <is>
          <t>Authentication</t>
        </is>
      </c>
      <c r="D3" t="inlineStr">
        <is>
          <t>Medium</t>
        </is>
      </c>
      <c r="E3" t="inlineStr">
        <is>
          <t>Closed</t>
        </is>
      </c>
      <c r="F3" t="inlineStr">
        <is>
          <t>Neha</t>
        </is>
      </c>
      <c r="G3" t="n">
        <v>2</v>
      </c>
    </row>
    <row r="4">
      <c r="A4" t="inlineStr">
        <is>
          <t>BUG003</t>
        </is>
      </c>
      <c r="B4" t="inlineStr">
        <is>
          <t>Dashboard Not Loading</t>
        </is>
      </c>
      <c r="C4" t="inlineStr">
        <is>
          <t>Dashboard</t>
        </is>
      </c>
      <c r="D4" t="inlineStr">
        <is>
          <t>High</t>
        </is>
      </c>
      <c r="E4" t="inlineStr">
        <is>
          <t>Open</t>
        </is>
      </c>
      <c r="F4" t="inlineStr">
        <is>
          <t>Rahul</t>
        </is>
      </c>
      <c r="G4" t="n">
        <v>8</v>
      </c>
    </row>
    <row r="5">
      <c r="A5" t="inlineStr">
        <is>
          <t>BUG004</t>
        </is>
      </c>
      <c r="B5" t="inlineStr">
        <is>
          <t>Report Export Error</t>
        </is>
      </c>
      <c r="C5" t="inlineStr">
        <is>
          <t>Reports</t>
        </is>
      </c>
      <c r="D5" t="inlineStr">
        <is>
          <t>Medium</t>
        </is>
      </c>
      <c r="E5" t="inlineStr">
        <is>
          <t>Closed</t>
        </is>
      </c>
      <c r="F5" t="inlineStr">
        <is>
          <t>Priya</t>
        </is>
      </c>
      <c r="G5" t="n">
        <v>4</v>
      </c>
    </row>
    <row r="6">
      <c r="A6" t="inlineStr">
        <is>
          <t>BUG005</t>
        </is>
      </c>
      <c r="B6" t="inlineStr">
        <is>
          <t>UI Alignment Issue</t>
        </is>
      </c>
      <c r="C6" t="inlineStr">
        <is>
          <t>Frontend</t>
        </is>
      </c>
      <c r="D6" t="inlineStr">
        <is>
          <t>Low</t>
        </is>
      </c>
      <c r="E6" t="inlineStr">
        <is>
          <t>Closed</t>
        </is>
      </c>
      <c r="F6" t="inlineStr">
        <is>
          <t>Rohan</t>
        </is>
      </c>
      <c r="G6" t="n">
        <v>1</v>
      </c>
    </row>
    <row r="7">
      <c r="A7" t="inlineStr">
        <is>
          <t>BUG006</t>
        </is>
      </c>
      <c r="B7" t="inlineStr">
        <is>
          <t>Search Not Working</t>
        </is>
      </c>
      <c r="C7" t="inlineStr">
        <is>
          <t>Frontend</t>
        </is>
      </c>
      <c r="D7" t="inlineStr">
        <is>
          <t>High</t>
        </is>
      </c>
      <c r="E7" t="inlineStr">
        <is>
          <t>Closed</t>
        </is>
      </c>
      <c r="F7" t="inlineStr">
        <is>
          <t>Sneha</t>
        </is>
      </c>
      <c r="G7" t="n">
        <v>5</v>
      </c>
    </row>
    <row r="8">
      <c r="A8" t="inlineStr">
        <is>
          <t>BUG007</t>
        </is>
      </c>
      <c r="B8" t="inlineStr">
        <is>
          <t>Database Timeout</t>
        </is>
      </c>
      <c r="C8" t="inlineStr">
        <is>
          <t>Backend</t>
        </is>
      </c>
      <c r="D8" t="inlineStr">
        <is>
          <t>Critical</t>
        </is>
      </c>
      <c r="E8" t="inlineStr">
        <is>
          <t>Open</t>
        </is>
      </c>
      <c r="F8" t="inlineStr">
        <is>
          <t>Karan</t>
        </is>
      </c>
      <c r="G8" t="n">
        <v>10</v>
      </c>
    </row>
    <row r="9">
      <c r="A9" t="inlineStr">
        <is>
          <t>BUG008</t>
        </is>
      </c>
      <c r="B9" t="inlineStr">
        <is>
          <t>Broken Link</t>
        </is>
      </c>
      <c r="C9" t="inlineStr">
        <is>
          <t>Website</t>
        </is>
      </c>
      <c r="D9" t="inlineStr">
        <is>
          <t>Low</t>
        </is>
      </c>
      <c r="E9" t="inlineStr">
        <is>
          <t>Closed</t>
        </is>
      </c>
      <c r="F9" t="inlineStr">
        <is>
          <t>Pooja</t>
        </is>
      </c>
      <c r="G9" t="n">
        <v>1</v>
      </c>
    </row>
    <row r="10">
      <c r="A10" t="inlineStr">
        <is>
          <t>BUG009</t>
        </is>
      </c>
      <c r="B10" t="inlineStr">
        <is>
          <t>API Response Delay</t>
        </is>
      </c>
      <c r="C10" t="inlineStr">
        <is>
          <t>API</t>
        </is>
      </c>
      <c r="D10" t="inlineStr">
        <is>
          <t>High</t>
        </is>
      </c>
      <c r="E10" t="inlineStr">
        <is>
          <t>Closed</t>
        </is>
      </c>
      <c r="F10" t="inlineStr">
        <is>
          <t>Vikas</t>
        </is>
      </c>
      <c r="G10" t="n">
        <v>6</v>
      </c>
    </row>
    <row r="11">
      <c r="A11" t="inlineStr">
        <is>
          <t>BUG010</t>
        </is>
      </c>
      <c r="B11" t="inlineStr">
        <is>
          <t>Data Duplication</t>
        </is>
      </c>
      <c r="C11" t="inlineStr">
        <is>
          <t>Database</t>
        </is>
      </c>
      <c r="D11" t="inlineStr">
        <is>
          <t>Critical</t>
        </is>
      </c>
      <c r="E11" t="inlineStr">
        <is>
          <t>Open</t>
        </is>
      </c>
      <c r="F11" t="inlineStr">
        <is>
          <t>Anjali</t>
        </is>
      </c>
      <c r="G11" t="n">
        <v>12</v>
      </c>
    </row>
    <row r="12">
      <c r="A12" t="inlineStr">
        <is>
          <t>BUG011</t>
        </is>
      </c>
      <c r="B12" t="inlineStr">
        <is>
          <t>Session Expiry Issue</t>
        </is>
      </c>
      <c r="C12" t="inlineStr">
        <is>
          <t>Authentication</t>
        </is>
      </c>
      <c r="D12" t="inlineStr">
        <is>
          <t>Medium</t>
        </is>
      </c>
      <c r="E12" t="inlineStr">
        <is>
          <t>Closed</t>
        </is>
      </c>
      <c r="F12" t="inlineStr">
        <is>
          <t>Nikhil</t>
        </is>
      </c>
      <c r="G12" t="n">
        <v>3</v>
      </c>
    </row>
    <row r="13">
      <c r="A13" t="inlineStr">
        <is>
          <t>BUG012</t>
        </is>
      </c>
      <c r="B13" t="inlineStr">
        <is>
          <t>Email Notification Error</t>
        </is>
      </c>
      <c r="C13" t="inlineStr">
        <is>
          <t>Notification</t>
        </is>
      </c>
      <c r="D13" t="inlineStr">
        <is>
          <t>Medium</t>
        </is>
      </c>
      <c r="E13" t="inlineStr">
        <is>
          <t>Closed</t>
        </is>
      </c>
      <c r="F13" t="inlineStr">
        <is>
          <t>Kavita</t>
        </is>
      </c>
      <c r="G13" t="n">
        <v>2</v>
      </c>
    </row>
    <row r="14">
      <c r="A14" t="inlineStr">
        <is>
          <t>BUG013</t>
        </is>
      </c>
      <c r="B14" t="inlineStr">
        <is>
          <t>File Upload Failure</t>
        </is>
      </c>
      <c r="C14" t="inlineStr">
        <is>
          <t>Storage</t>
        </is>
      </c>
      <c r="D14" t="inlineStr">
        <is>
          <t>High</t>
        </is>
      </c>
      <c r="E14" t="inlineStr">
        <is>
          <t>Closed</t>
        </is>
      </c>
      <c r="F14" t="inlineStr">
        <is>
          <t>Ajay</t>
        </is>
      </c>
      <c r="G14" t="n">
        <v>5</v>
      </c>
    </row>
    <row r="15">
      <c r="A15" t="inlineStr">
        <is>
          <t>BUG014</t>
        </is>
      </c>
      <c r="B15" t="inlineStr">
        <is>
          <t>Incorrect Calculation</t>
        </is>
      </c>
      <c r="C15" t="inlineStr">
        <is>
          <t>Reports</t>
        </is>
      </c>
      <c r="D15" t="inlineStr">
        <is>
          <t>High</t>
        </is>
      </c>
      <c r="E15" t="inlineStr">
        <is>
          <t>Closed</t>
        </is>
      </c>
      <c r="F15" t="inlineStr">
        <is>
          <t>Meera</t>
        </is>
      </c>
      <c r="G15" t="n">
        <v>4</v>
      </c>
    </row>
    <row r="16">
      <c r="A16" t="inlineStr">
        <is>
          <t>BUG015</t>
        </is>
      </c>
      <c r="B16" t="inlineStr">
        <is>
          <t>Missing Icons</t>
        </is>
      </c>
      <c r="C16" t="inlineStr">
        <is>
          <t>Frontend</t>
        </is>
      </c>
      <c r="D16" t="inlineStr">
        <is>
          <t>Low</t>
        </is>
      </c>
      <c r="E16" t="inlineStr">
        <is>
          <t>Closed</t>
        </is>
      </c>
      <c r="F16" t="inlineStr">
        <is>
          <t>Sahil</t>
        </is>
      </c>
      <c r="G16" t="n">
        <v>1</v>
      </c>
    </row>
    <row r="17">
      <c r="A17" t="inlineStr">
        <is>
          <t>BUG016</t>
        </is>
      </c>
      <c r="B17" t="inlineStr">
        <is>
          <t>Slow Page Load</t>
        </is>
      </c>
      <c r="C17" t="inlineStr">
        <is>
          <t>Website</t>
        </is>
      </c>
      <c r="D17" t="inlineStr">
        <is>
          <t>Medium</t>
        </is>
      </c>
      <c r="E17" t="inlineStr">
        <is>
          <t>Closed</t>
        </is>
      </c>
      <c r="F17" t="inlineStr">
        <is>
          <t>Komal</t>
        </is>
      </c>
      <c r="G17" t="n">
        <v>3</v>
      </c>
    </row>
    <row r="18">
      <c r="A18" t="inlineStr">
        <is>
          <t>BUG017</t>
        </is>
      </c>
      <c r="B18" t="inlineStr">
        <is>
          <t>Security Warning</t>
        </is>
      </c>
      <c r="C18" t="inlineStr">
        <is>
          <t>Security</t>
        </is>
      </c>
      <c r="D18" t="inlineStr">
        <is>
          <t>Critical</t>
        </is>
      </c>
      <c r="E18" t="inlineStr">
        <is>
          <t>Closed</t>
        </is>
      </c>
      <c r="F18" t="inlineStr">
        <is>
          <t>Arjun</t>
        </is>
      </c>
      <c r="G18" t="n">
        <v>7</v>
      </c>
    </row>
    <row r="19">
      <c r="A19" t="inlineStr">
        <is>
          <t>BUG018</t>
        </is>
      </c>
      <c r="B19" t="inlineStr">
        <is>
          <t>Payment Gateway Failure</t>
        </is>
      </c>
      <c r="C19" t="inlineStr">
        <is>
          <t>Payments</t>
        </is>
      </c>
      <c r="D19" t="inlineStr">
        <is>
          <t>Critical</t>
        </is>
      </c>
      <c r="E19" t="inlineStr">
        <is>
          <t>Open</t>
        </is>
      </c>
      <c r="F19" t="inlineStr">
        <is>
          <t>Riya</t>
        </is>
      </c>
      <c r="G19" t="n">
        <v>15</v>
      </c>
    </row>
    <row r="20">
      <c r="A20" t="inlineStr">
        <is>
          <t>BUG019</t>
        </is>
      </c>
      <c r="B20" t="inlineStr">
        <is>
          <t>Incorrect User Role</t>
        </is>
      </c>
      <c r="C20" t="inlineStr">
        <is>
          <t>Authorization</t>
        </is>
      </c>
      <c r="D20" t="inlineStr">
        <is>
          <t>High</t>
        </is>
      </c>
      <c r="E20" t="inlineStr">
        <is>
          <t>Closed</t>
        </is>
      </c>
      <c r="F20" t="inlineStr">
        <is>
          <t>Deepak</t>
        </is>
      </c>
      <c r="G20" t="n">
        <v>4</v>
      </c>
    </row>
    <row r="21">
      <c r="A21" t="inlineStr">
        <is>
          <t>BUG020</t>
        </is>
      </c>
      <c r="B21" t="inlineStr">
        <is>
          <t>Crash on Logout</t>
        </is>
      </c>
      <c r="C21" t="inlineStr">
        <is>
          <t>Authentication</t>
        </is>
      </c>
      <c r="D21" t="inlineStr">
        <is>
          <t>Medium</t>
        </is>
      </c>
      <c r="E21" t="inlineStr">
        <is>
          <t>Closed</t>
        </is>
      </c>
      <c r="F21" t="inlineStr">
        <is>
          <t>Shweta</t>
        </is>
      </c>
      <c r="G21" t="n">
        <v>2</v>
      </c>
    </row>
    <row r="22">
      <c r="A22" t="inlineStr">
        <is>
          <t>BUG021</t>
        </is>
      </c>
      <c r="B22" t="inlineStr">
        <is>
          <t>Mobile Layout Issue</t>
        </is>
      </c>
      <c r="C22" t="inlineStr">
        <is>
          <t>Frontend</t>
        </is>
      </c>
      <c r="D22" t="inlineStr">
        <is>
          <t>Low</t>
        </is>
      </c>
      <c r="E22" t="inlineStr">
        <is>
          <t>Closed</t>
        </is>
      </c>
      <c r="F22" t="inlineStr">
        <is>
          <t>Aman</t>
        </is>
      </c>
      <c r="G22" t="n">
        <v>1</v>
      </c>
    </row>
    <row r="23">
      <c r="A23" t="inlineStr">
        <is>
          <t>BUG022</t>
        </is>
      </c>
      <c r="B23" t="inlineStr">
        <is>
          <t>Notification Delay</t>
        </is>
      </c>
      <c r="C23" t="inlineStr">
        <is>
          <t>Notification</t>
        </is>
      </c>
      <c r="D23" t="inlineStr">
        <is>
          <t>Medium</t>
        </is>
      </c>
      <c r="E23" t="inlineStr">
        <is>
          <t>Closed</t>
        </is>
      </c>
      <c r="F23" t="inlineStr">
        <is>
          <t>Divya</t>
        </is>
      </c>
      <c r="G23" t="n">
        <v>3</v>
      </c>
    </row>
    <row r="24">
      <c r="A24" t="inlineStr">
        <is>
          <t>BUG023</t>
        </is>
      </c>
      <c r="B24" t="inlineStr">
        <is>
          <t>API Authentication Error</t>
        </is>
      </c>
      <c r="C24" t="inlineStr">
        <is>
          <t>API</t>
        </is>
      </c>
      <c r="D24" t="inlineStr">
        <is>
          <t>High</t>
        </is>
      </c>
      <c r="E24" t="inlineStr">
        <is>
          <t>Closed</t>
        </is>
      </c>
      <c r="F24" t="inlineStr">
        <is>
          <t>Yash</t>
        </is>
      </c>
      <c r="G24" t="n">
        <v>5</v>
      </c>
    </row>
    <row r="25">
      <c r="A25" t="inlineStr">
        <is>
          <t>BUG024</t>
        </is>
      </c>
      <c r="B25" t="inlineStr">
        <is>
          <t>Data Sync Failure</t>
        </is>
      </c>
      <c r="C25" t="inlineStr">
        <is>
          <t>Backend</t>
        </is>
      </c>
      <c r="D25" t="inlineStr">
        <is>
          <t>Critical</t>
        </is>
      </c>
      <c r="E25" t="inlineStr">
        <is>
          <t>Open</t>
        </is>
      </c>
      <c r="F25" t="inlineStr">
        <is>
          <t>Tina</t>
        </is>
      </c>
      <c r="G25" t="n">
        <v>11</v>
      </c>
    </row>
    <row r="26">
      <c r="A26" t="inlineStr">
        <is>
          <t>BUG025</t>
        </is>
      </c>
      <c r="B26" t="inlineStr">
        <is>
          <t>Chart Rendering Issue</t>
        </is>
      </c>
      <c r="C26" t="inlineStr">
        <is>
          <t>Dashboard</t>
        </is>
      </c>
      <c r="D26" t="inlineStr">
        <is>
          <t>Medium</t>
        </is>
      </c>
      <c r="E26" t="inlineStr">
        <is>
          <t>Closed</t>
        </is>
      </c>
      <c r="F26" t="inlineStr">
        <is>
          <t>Rakesh</t>
        </is>
      </c>
      <c r="G2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Software Bug Tracking Dashboard</t>
        </is>
      </c>
    </row>
    <row r="3">
      <c r="A3" t="inlineStr">
        <is>
          <t>Total Bugs</t>
        </is>
      </c>
      <c r="B3">
        <f>COUNTA('Bug Data'!A2:A100)</f>
        <v/>
      </c>
    </row>
    <row r="4">
      <c r="A4" t="inlineStr">
        <is>
          <t>Open Bugs</t>
        </is>
      </c>
      <c r="B4">
        <f>COUNTIF('Bug Data'!E:E,"Open")</f>
        <v/>
      </c>
    </row>
    <row r="5">
      <c r="A5" t="inlineStr">
        <is>
          <t>Closed Bugs</t>
        </is>
      </c>
      <c r="B5">
        <f>COUNTIF('Bug Data'!E:E,"Closed")</f>
        <v/>
      </c>
    </row>
    <row r="6">
      <c r="A6" t="inlineStr">
        <is>
          <t>Critical Bugs</t>
        </is>
      </c>
      <c r="B6">
        <f>COUNTIF('Bug Data'!D:D,"Critical")</f>
        <v/>
      </c>
    </row>
    <row r="7">
      <c r="A7" t="inlineStr">
        <is>
          <t>High Severity Bugs</t>
        </is>
      </c>
      <c r="B7">
        <f>COUNTIF('Bug Data'!D:D,"High")</f>
        <v/>
      </c>
    </row>
    <row r="8">
      <c r="A8" t="inlineStr">
        <is>
          <t>Medium Severity Bugs</t>
        </is>
      </c>
      <c r="B8">
        <f>COUNTIF('Bug Data'!D:D,"Medium")</f>
        <v/>
      </c>
    </row>
    <row r="9">
      <c r="A9" t="inlineStr">
        <is>
          <t>Low Severity Bugs</t>
        </is>
      </c>
      <c r="B9">
        <f>COUNTIF('Bug Data'!D:D,"Low")</f>
        <v/>
      </c>
    </row>
    <row r="10">
      <c r="A10" t="inlineStr">
        <is>
          <t>Average Days Open</t>
        </is>
      </c>
      <c r="B10">
        <f>AVERAGE('Bug Data'!G2:G100)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2026-06-10T19:22:17Z</dcterms:created>
  <dcterms:modified xmlns:dcterms="http://purl.org/dc/terms/" xmlns:xsi="http://www.w3.org/2001/XMLSchema-instance" xsi:type="dcterms:W3CDTF">2026-06-10T19:22:17Z</dcterms:modified>
</cp:coreProperties>
</file>